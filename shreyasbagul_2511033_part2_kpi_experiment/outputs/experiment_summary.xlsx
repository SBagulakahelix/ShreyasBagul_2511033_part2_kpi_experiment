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Region_Analysis" sheetId="2" state="visible" r:id="rId2"/>
    <sheet name="Device_Analysis" sheetId="3" state="visible" r:id="rId3"/>
    <sheet name="Traffic_Source_Analysis" sheetId="4" state="visible" r:id="rId4"/>
    <sheet name="Plan_Type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-0.00%;0.00%"/>
    <numFmt numFmtId="165" formatCode="$#,##0.00"/>
    <numFmt numFmtId="166" formatCode="+$#,##0.00;-$#,##0.00;$0.00"/>
    <numFmt numFmtId="167" formatCode="+0.0;-0.0;0.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24" customWidth="1" min="3" max="3"/>
    <col width="22" customWidth="1" min="4" max="4"/>
    <col width="18" customWidth="1" min="5" max="5"/>
  </cols>
  <sheetData>
    <row r="1" ht="25" customHeight="1">
      <c r="A1" s="1" t="inlineStr">
        <is>
          <t>OVERALL EXPERIMENT METRICS COMPARISON</t>
        </is>
      </c>
    </row>
    <row r="2" ht="18" customHeight="1">
      <c r="A2" s="2" t="inlineStr">
        <is>
          <t>Control vs Treatment (Deduplicated Users N=1400)</t>
        </is>
      </c>
    </row>
    <row r="3"/>
    <row r="4" ht="22" customHeight="1">
      <c r="A4" s="3" t="inlineStr">
        <is>
          <t>Experiment Metric</t>
        </is>
      </c>
      <c r="B4" s="3" t="inlineStr">
        <is>
          <t>Control Group</t>
        </is>
      </c>
      <c r="C4" s="3" t="inlineStr">
        <is>
          <t>Treatment Group</t>
        </is>
      </c>
      <c r="D4" s="3" t="inlineStr">
        <is>
          <t>Absolute Difference</t>
        </is>
      </c>
      <c r="E4" s="3" t="inlineStr">
        <is>
          <t>Percentage Lift</t>
        </is>
      </c>
    </row>
    <row r="5" ht="20" customHeight="1">
      <c r="A5" s="4" t="inlineStr">
        <is>
          <t>User Count</t>
        </is>
      </c>
      <c r="B5" s="5" t="n">
        <v>690</v>
      </c>
      <c r="C5" s="5" t="n">
        <v>710</v>
      </c>
      <c r="D5" s="5">
        <f>C5-B5</f>
        <v/>
      </c>
      <c r="E5" s="6">
        <f>(C5-B5)/B5</f>
        <v/>
      </c>
    </row>
    <row r="6" ht="20" customHeight="1">
      <c r="A6" s="7" t="inlineStr">
        <is>
          <t>Landing Page Visit Rate</t>
        </is>
      </c>
      <c r="B6" s="8" t="n">
        <v>0.636231884057971</v>
      </c>
      <c r="C6" s="8" t="n">
        <v>0.723943661971831</v>
      </c>
      <c r="D6" s="9">
        <f>C6-B6</f>
        <v/>
      </c>
      <c r="E6" s="9">
        <f>(C6-B6)/B6</f>
        <v/>
      </c>
    </row>
    <row r="7" ht="20" customHeight="1">
      <c r="A7" s="4" t="inlineStr">
        <is>
          <t>Trial Start Rate</t>
        </is>
      </c>
      <c r="B7" s="10" t="n">
        <v>0.2507246376811594</v>
      </c>
      <c r="C7" s="10" t="n">
        <v>0.2901408450704225</v>
      </c>
      <c r="D7" s="6">
        <f>C7-B7</f>
        <v/>
      </c>
      <c r="E7" s="6">
        <f>(C7-B7)/B7</f>
        <v/>
      </c>
    </row>
    <row r="8" ht="20" customHeight="1">
      <c r="A8" s="7" t="inlineStr">
        <is>
          <t>Onboarding Completion Rate</t>
        </is>
      </c>
      <c r="B8" s="8" t="n">
        <v>0.1565217391304348</v>
      </c>
      <c r="C8" s="8" t="n">
        <v>0.2112676056338028</v>
      </c>
      <c r="D8" s="9">
        <f>C8-B8</f>
        <v/>
      </c>
      <c r="E8" s="9">
        <f>(C8-B8)/B8</f>
        <v/>
      </c>
    </row>
    <row r="9" ht="20" customHeight="1">
      <c r="A9" s="4" t="inlineStr">
        <is>
          <t>Paid Conversion Rate</t>
        </is>
      </c>
      <c r="B9" s="10" t="n">
        <v>0.03188405797101449</v>
      </c>
      <c r="C9" s="10" t="n">
        <v>0.07042253521126761</v>
      </c>
      <c r="D9" s="6">
        <f>C9-B9</f>
        <v/>
      </c>
      <c r="E9" s="6">
        <f>(C9-B9)/B9</f>
        <v/>
      </c>
    </row>
    <row r="10" ht="20" customHeight="1">
      <c r="A10" s="7" t="inlineStr">
        <is>
          <t>Average Revenue Per User (ARPU)</t>
        </is>
      </c>
      <c r="B10" s="11" t="n">
        <v>51.97431884057971</v>
      </c>
      <c r="C10" s="11" t="n">
        <v>54.25452112676057</v>
      </c>
      <c r="D10" s="12">
        <f>C10-B10</f>
        <v/>
      </c>
      <c r="E10" s="9">
        <f>(C10-B10)/B10</f>
        <v/>
      </c>
    </row>
    <row r="11" ht="20" customHeight="1">
      <c r="A11" s="4" t="inlineStr">
        <is>
          <t>Average Revenue Per Converted User</t>
        </is>
      </c>
      <c r="B11" s="13" t="n">
        <v>1630.103636363636</v>
      </c>
      <c r="C11" s="13" t="n">
        <v>770.4141999999999</v>
      </c>
      <c r="D11" s="14">
        <f>C11-B11</f>
        <v/>
      </c>
      <c r="E11" s="6">
        <f>(C11-B11)/B11</f>
        <v/>
      </c>
    </row>
    <row r="12" ht="20" customHeight="1">
      <c r="A12" s="7" t="inlineStr">
        <is>
          <t>Refund Rate</t>
        </is>
      </c>
      <c r="B12" s="8" t="n">
        <v>0</v>
      </c>
      <c r="C12" s="8" t="n">
        <v>0.004225352112676056</v>
      </c>
      <c r="D12" s="9">
        <f>C12-B12</f>
        <v/>
      </c>
      <c r="E12" s="9">
        <f>(C12-B12)/B12</f>
        <v/>
      </c>
    </row>
    <row r="13" ht="20" customHeight="1">
      <c r="A13" s="4" t="inlineStr">
        <is>
          <t>Support Ticket Rate</t>
        </is>
      </c>
      <c r="B13" s="10" t="n">
        <v>0.1478260869565217</v>
      </c>
      <c r="C13" s="10" t="n">
        <v>0.247887323943662</v>
      </c>
      <c r="D13" s="6">
        <f>C13-B13</f>
        <v/>
      </c>
      <c r="E13" s="6">
        <f>(C13-B13)/B13</f>
        <v/>
      </c>
    </row>
    <row r="14" ht="20" customHeight="1">
      <c r="A14" s="7" t="inlineStr">
        <is>
          <t>Average Engagement Score</t>
        </is>
      </c>
      <c r="B14" s="15" t="n">
        <v>57.02405797101448</v>
      </c>
      <c r="C14" s="15" t="n">
        <v>62.93619718309859</v>
      </c>
      <c r="D14" s="16">
        <f>C14-B14</f>
        <v/>
      </c>
      <c r="E14" s="9">
        <f>(C14-B14)/B14</f>
        <v/>
      </c>
    </row>
    <row r="15" ht="20" customHeight="1">
      <c r="A15" s="4" t="inlineStr">
        <is>
          <t>Average Days to Convert</t>
        </is>
      </c>
      <c r="B15" s="17" t="n">
        <v>8.863636363636363</v>
      </c>
      <c r="C15" s="17" t="n">
        <v>6.4</v>
      </c>
      <c r="D15" s="18">
        <f>C15-B15</f>
        <v/>
      </c>
      <c r="E15" s="6">
        <f>(C15-B15)/B15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32" customWidth="1" min="4" max="4"/>
    <col width="32" customWidth="1" min="5" max="5"/>
    <col width="29" customWidth="1" min="6" max="6"/>
    <col width="31" customWidth="1" min="7" max="7"/>
    <col width="31" customWidth="1" min="8" max="8"/>
    <col width="29" customWidth="1" min="9" max="9"/>
  </cols>
  <sheetData>
    <row r="1" ht="25" customHeight="1">
      <c r="A1" s="1" t="inlineStr">
        <is>
          <t>EXPERIMENT SEGMENT ANALYSIS: REGION</t>
        </is>
      </c>
    </row>
    <row r="2" ht="18" customHeight="1">
      <c r="A2" s="2" t="inlineStr">
        <is>
          <t>Experiment Segment Breakdown - Shreyas Bagul (2511033)</t>
        </is>
      </c>
    </row>
    <row r="3"/>
    <row r="4" ht="22" customHeight="1">
      <c r="A4" s="3" t="inlineStr">
        <is>
          <t>Region</t>
        </is>
      </c>
      <c r="B4" s="3" t="inlineStr">
        <is>
          <t>Control N</t>
        </is>
      </c>
      <c r="C4" s="3" t="inlineStr">
        <is>
          <t>Treatment N</t>
        </is>
      </c>
      <c r="D4" s="3" t="inlineStr">
        <is>
          <t>Control CR</t>
        </is>
      </c>
      <c r="E4" s="3" t="inlineStr">
        <is>
          <t>Treatment CR</t>
        </is>
      </c>
      <c r="F4" s="3" t="inlineStr">
        <is>
          <t>CR Lift</t>
        </is>
      </c>
      <c r="G4" s="3" t="inlineStr">
        <is>
          <t>Control ARPU</t>
        </is>
      </c>
      <c r="H4" s="3" t="inlineStr">
        <is>
          <t>Treatment ARPU</t>
        </is>
      </c>
      <c r="I4" s="3" t="inlineStr">
        <is>
          <t>ARPU Lift</t>
        </is>
      </c>
    </row>
    <row r="5" ht="20" customHeight="1">
      <c r="A5" s="4" t="inlineStr">
        <is>
          <t>East</t>
        </is>
      </c>
      <c r="B5" s="5" t="n">
        <v>157</v>
      </c>
      <c r="C5" s="5" t="n">
        <v>170</v>
      </c>
      <c r="D5" s="10" t="n">
        <v>0.02547770700636943</v>
      </c>
      <c r="E5" s="10" t="n">
        <v>0.06470588235294118</v>
      </c>
      <c r="F5" s="6">
        <f>IF(D5=0, "", (E5-D5)/D5)</f>
        <v/>
      </c>
      <c r="G5" s="13" t="n">
        <v>18.23146496815287</v>
      </c>
      <c r="H5" s="13" t="n">
        <v>47.05176470588235</v>
      </c>
      <c r="I5" s="6">
        <f>IF(G5=0, "", (H5-G5)/G5)</f>
        <v/>
      </c>
    </row>
    <row r="6" ht="20" customHeight="1">
      <c r="A6" s="7" t="inlineStr">
        <is>
          <t>North</t>
        </is>
      </c>
      <c r="B6" s="19" t="n">
        <v>201</v>
      </c>
      <c r="C6" s="19" t="n">
        <v>180</v>
      </c>
      <c r="D6" s="8" t="n">
        <v>0.03482587064676617</v>
      </c>
      <c r="E6" s="8" t="n">
        <v>0.08888888888888889</v>
      </c>
      <c r="F6" s="9">
        <f>IF(D6=0, "", (E6-D6)/D6)</f>
        <v/>
      </c>
      <c r="G6" s="11" t="n">
        <v>84.50009950248756</v>
      </c>
      <c r="H6" s="11" t="n">
        <v>80.9675</v>
      </c>
      <c r="I6" s="9">
        <f>IF(G6=0, "", (H6-G6)/G6)</f>
        <v/>
      </c>
    </row>
    <row r="7" ht="20" customHeight="1">
      <c r="A7" s="4" t="inlineStr">
        <is>
          <t>South</t>
        </is>
      </c>
      <c r="B7" s="5" t="n">
        <v>184</v>
      </c>
      <c r="C7" s="5" t="n">
        <v>183</v>
      </c>
      <c r="D7" s="10" t="n">
        <v>0.03260869565217391</v>
      </c>
      <c r="E7" s="10" t="n">
        <v>0.07650273224043716</v>
      </c>
      <c r="F7" s="6">
        <f>IF(D7=0, "", (E7-D7)/D7)</f>
        <v/>
      </c>
      <c r="G7" s="13" t="n">
        <v>76.03309782608696</v>
      </c>
      <c r="H7" s="13" t="n">
        <v>47.25852459016393</v>
      </c>
      <c r="I7" s="6">
        <f>IF(G7=0, "", (H7-G7)/G7)</f>
        <v/>
      </c>
    </row>
    <row r="8" ht="20" customHeight="1">
      <c r="A8" s="7" t="inlineStr">
        <is>
          <t>West</t>
        </is>
      </c>
      <c r="B8" s="19" t="n">
        <v>148</v>
      </c>
      <c r="C8" s="19" t="n">
        <v>177</v>
      </c>
      <c r="D8" s="8" t="n">
        <v>0.03378378378378379</v>
      </c>
      <c r="E8" s="8" t="n">
        <v>0.05084745762711865</v>
      </c>
      <c r="F8" s="9">
        <f>IF(D8=0, "", (E8-D8)/D8)</f>
        <v/>
      </c>
      <c r="G8" s="11" t="n">
        <v>13.68466216216216</v>
      </c>
      <c r="H8" s="11" t="n">
        <v>41.23983050847458</v>
      </c>
      <c r="I8" s="9">
        <f>IF(G8=0, "", (H8-G8)/G8)</f>
        <v/>
      </c>
    </row>
    <row r="9" ht="22" customHeight="1">
      <c r="A9" s="20" t="inlineStr">
        <is>
          <t>Grand Total</t>
        </is>
      </c>
      <c r="B9" s="21">
        <f>SUM(B5:B8)</f>
        <v/>
      </c>
      <c r="C9" s="21">
        <f>SUM(C5:C8)</f>
        <v/>
      </c>
      <c r="D9" s="22">
        <f>SUMPRODUCT(B5:B8, D5:D8)/B9</f>
        <v/>
      </c>
      <c r="E9" s="22">
        <f>SUMPRODUCT(C5:C8, E5:E8)/C9</f>
        <v/>
      </c>
      <c r="F9" s="23">
        <f>(E9-D9)/D9</f>
        <v/>
      </c>
      <c r="G9" s="24">
        <f>SUMPRODUCT(B5:B8, G5:G8)/B9</f>
        <v/>
      </c>
      <c r="H9" s="24">
        <f>SUMPRODUCT(C5:C8, H5:H8)/C9</f>
        <v/>
      </c>
      <c r="I9" s="23">
        <f>(H9-G9)/G9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32" customWidth="1" min="4" max="4"/>
    <col width="32" customWidth="1" min="5" max="5"/>
    <col width="29" customWidth="1" min="6" max="6"/>
    <col width="31" customWidth="1" min="7" max="7"/>
    <col width="31" customWidth="1" min="8" max="8"/>
    <col width="29" customWidth="1" min="9" max="9"/>
  </cols>
  <sheetData>
    <row r="1" ht="25" customHeight="1">
      <c r="A1" s="1" t="inlineStr">
        <is>
          <t>EXPERIMENT SEGMENT ANALYSIS: DEVICE TYPE</t>
        </is>
      </c>
    </row>
    <row r="2" ht="18" customHeight="1">
      <c r="A2" s="2" t="inlineStr">
        <is>
          <t>Experiment Segment Breakdown - Shreyas Bagul (2511033)</t>
        </is>
      </c>
    </row>
    <row r="3"/>
    <row r="4" ht="22" customHeight="1">
      <c r="A4" s="3" t="inlineStr">
        <is>
          <t>Device Type</t>
        </is>
      </c>
      <c r="B4" s="3" t="inlineStr">
        <is>
          <t>Control N</t>
        </is>
      </c>
      <c r="C4" s="3" t="inlineStr">
        <is>
          <t>Treatment N</t>
        </is>
      </c>
      <c r="D4" s="3" t="inlineStr">
        <is>
          <t>Control CR</t>
        </is>
      </c>
      <c r="E4" s="3" t="inlineStr">
        <is>
          <t>Treatment CR</t>
        </is>
      </c>
      <c r="F4" s="3" t="inlineStr">
        <is>
          <t>CR Lift</t>
        </is>
      </c>
      <c r="G4" s="3" t="inlineStr">
        <is>
          <t>Control ARPU</t>
        </is>
      </c>
      <c r="H4" s="3" t="inlineStr">
        <is>
          <t>Treatment ARPU</t>
        </is>
      </c>
      <c r="I4" s="3" t="inlineStr">
        <is>
          <t>ARPU Lift</t>
        </is>
      </c>
    </row>
    <row r="5" ht="20" customHeight="1">
      <c r="A5" s="4" t="inlineStr">
        <is>
          <t>Desktop</t>
        </is>
      </c>
      <c r="B5" s="5" t="n">
        <v>200</v>
      </c>
      <c r="C5" s="5" t="n">
        <v>213</v>
      </c>
      <c r="D5" s="10" t="n">
        <v>0.045</v>
      </c>
      <c r="E5" s="10" t="n">
        <v>0.06572769953051644</v>
      </c>
      <c r="F5" s="6">
        <f>IF(D5=0, "", (E5-D5)/D5)</f>
        <v/>
      </c>
      <c r="G5" s="13" t="n">
        <v>84.94295</v>
      </c>
      <c r="H5" s="13" t="n">
        <v>41.15042253521127</v>
      </c>
      <c r="I5" s="6">
        <f>IF(G5=0, "", (H5-G5)/G5)</f>
        <v/>
      </c>
    </row>
    <row r="6" ht="20" customHeight="1">
      <c r="A6" s="7" t="inlineStr">
        <is>
          <t>Mobile</t>
        </is>
      </c>
      <c r="B6" s="19" t="n">
        <v>426</v>
      </c>
      <c r="C6" s="19" t="n">
        <v>432</v>
      </c>
      <c r="D6" s="8" t="n">
        <v>0.02582159624413146</v>
      </c>
      <c r="E6" s="8" t="n">
        <v>0.07407407407407407</v>
      </c>
      <c r="F6" s="9">
        <f>IF(D6=0, "", (E6-D6)/D6)</f>
        <v/>
      </c>
      <c r="G6" s="11" t="n">
        <v>42.04443661971831</v>
      </c>
      <c r="H6" s="11" t="n">
        <v>59.37305555555555</v>
      </c>
      <c r="I6" s="9">
        <f>IF(G6=0, "", (H6-G6)/G6)</f>
        <v/>
      </c>
    </row>
    <row r="7" ht="20" customHeight="1">
      <c r="A7" s="4" t="inlineStr">
        <is>
          <t>Tablet</t>
        </is>
      </c>
      <c r="B7" s="5" t="n">
        <v>55</v>
      </c>
      <c r="C7" s="5" t="n">
        <v>56</v>
      </c>
      <c r="D7" s="10" t="n">
        <v>0.01818181818181818</v>
      </c>
      <c r="E7" s="10" t="n">
        <v>0.07142857142857142</v>
      </c>
      <c r="F7" s="6">
        <f>IF(D7=0, "", (E7-D7)/D7)</f>
        <v/>
      </c>
      <c r="G7" s="13" t="n">
        <v>7.443454545454546</v>
      </c>
      <c r="H7" s="13" t="n">
        <v>73.33053571428572</v>
      </c>
      <c r="I7" s="6">
        <f>IF(G7=0, "", (H7-G7)/G7)</f>
        <v/>
      </c>
    </row>
    <row r="8" ht="20" customHeight="1">
      <c r="A8" s="7" t="inlineStr">
        <is>
          <t>Unknown</t>
        </is>
      </c>
      <c r="B8" s="19" t="n">
        <v>9</v>
      </c>
      <c r="C8" s="19" t="n">
        <v>9</v>
      </c>
      <c r="D8" s="8" t="n">
        <v>0.1111111111111111</v>
      </c>
      <c r="E8" s="8" t="n">
        <v>0</v>
      </c>
      <c r="F8" s="9">
        <f>IF(D8=0, "", (E8-D8)/D8)</f>
        <v/>
      </c>
      <c r="G8" s="11" t="n">
        <v>61.48555555555556</v>
      </c>
      <c r="H8" s="11" t="n">
        <v>0</v>
      </c>
      <c r="I8" s="9">
        <f>IF(G8=0, "", (H8-G8)/G8)</f>
        <v/>
      </c>
    </row>
    <row r="9" ht="22" customHeight="1">
      <c r="A9" s="20" t="inlineStr">
        <is>
          <t>Grand Total</t>
        </is>
      </c>
      <c r="B9" s="21">
        <f>SUM(B5:B8)</f>
        <v/>
      </c>
      <c r="C9" s="21">
        <f>SUM(C5:C8)</f>
        <v/>
      </c>
      <c r="D9" s="22">
        <f>SUMPRODUCT(B5:B8, D5:D8)/B9</f>
        <v/>
      </c>
      <c r="E9" s="22">
        <f>SUMPRODUCT(C5:C8, E5:E8)/C9</f>
        <v/>
      </c>
      <c r="F9" s="23">
        <f>(E9-D9)/D9</f>
        <v/>
      </c>
      <c r="G9" s="24">
        <f>SUMPRODUCT(B5:B8, G5:G8)/B9</f>
        <v/>
      </c>
      <c r="H9" s="24">
        <f>SUMPRODUCT(C5:C8, H5:H8)/C9</f>
        <v/>
      </c>
      <c r="I9" s="23">
        <f>(H9-G9)/G9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35" customWidth="1" min="4" max="4"/>
    <col width="35" customWidth="1" min="5" max="5"/>
    <col width="33" customWidth="1" min="6" max="6"/>
    <col width="34" customWidth="1" min="7" max="7"/>
    <col width="34" customWidth="1" min="8" max="8"/>
    <col width="33" customWidth="1" min="9" max="9"/>
  </cols>
  <sheetData>
    <row r="1" ht="25" customHeight="1">
      <c r="A1" s="1" t="inlineStr">
        <is>
          <t>EXPERIMENT SEGMENT ANALYSIS: TRAFFIC SOURCE</t>
        </is>
      </c>
    </row>
    <row r="2" ht="18" customHeight="1">
      <c r="A2" s="2" t="inlineStr">
        <is>
          <t>Experiment Segment Breakdown - Shreyas Bagul (2511033)</t>
        </is>
      </c>
    </row>
    <row r="3"/>
    <row r="4" ht="22" customHeight="1">
      <c r="A4" s="3" t="inlineStr">
        <is>
          <t>Traffic Source</t>
        </is>
      </c>
      <c r="B4" s="3" t="inlineStr">
        <is>
          <t>Control N</t>
        </is>
      </c>
      <c r="C4" s="3" t="inlineStr">
        <is>
          <t>Treatment N</t>
        </is>
      </c>
      <c r="D4" s="3" t="inlineStr">
        <is>
          <t>Control CR</t>
        </is>
      </c>
      <c r="E4" s="3" t="inlineStr">
        <is>
          <t>Treatment CR</t>
        </is>
      </c>
      <c r="F4" s="3" t="inlineStr">
        <is>
          <t>CR Lift</t>
        </is>
      </c>
      <c r="G4" s="3" t="inlineStr">
        <is>
          <t>Control ARPU</t>
        </is>
      </c>
      <c r="H4" s="3" t="inlineStr">
        <is>
          <t>Treatment ARPU</t>
        </is>
      </c>
      <c r="I4" s="3" t="inlineStr">
        <is>
          <t>ARPU Lift</t>
        </is>
      </c>
    </row>
    <row r="5" ht="20" customHeight="1">
      <c r="A5" s="4" t="inlineStr">
        <is>
          <t>Email</t>
        </is>
      </c>
      <c r="B5" s="5" t="n">
        <v>73</v>
      </c>
      <c r="C5" s="5" t="n">
        <v>56</v>
      </c>
      <c r="D5" s="10" t="n">
        <v>0.0273972602739726</v>
      </c>
      <c r="E5" s="10" t="n">
        <v>0.07142857142857142</v>
      </c>
      <c r="F5" s="6">
        <f>IF(D5=0, "", (E5-D5)/D5)</f>
        <v/>
      </c>
      <c r="G5" s="13" t="n">
        <v>29.1141095890411</v>
      </c>
      <c r="H5" s="13" t="n">
        <v>44.98089285714286</v>
      </c>
      <c r="I5" s="6">
        <f>IF(G5=0, "", (H5-G5)/G5)</f>
        <v/>
      </c>
    </row>
    <row r="6" ht="20" customHeight="1">
      <c r="A6" s="7" t="inlineStr">
        <is>
          <t>Organic</t>
        </is>
      </c>
      <c r="B6" s="19" t="n">
        <v>246</v>
      </c>
      <c r="C6" s="19" t="n">
        <v>237</v>
      </c>
      <c r="D6" s="8" t="n">
        <v>0.02032520325203252</v>
      </c>
      <c r="E6" s="8" t="n">
        <v>0.06329113924050633</v>
      </c>
      <c r="F6" s="9">
        <f>IF(D6=0, "", (E6-D6)/D6)</f>
        <v/>
      </c>
      <c r="G6" s="11" t="n">
        <v>42.51260162601626</v>
      </c>
      <c r="H6" s="11" t="n">
        <v>51.56219409282701</v>
      </c>
      <c r="I6" s="9">
        <f>IF(G6=0, "", (H6-G6)/G6)</f>
        <v/>
      </c>
    </row>
    <row r="7" ht="20" customHeight="1">
      <c r="A7" s="4" t="inlineStr">
        <is>
          <t>Paid Search</t>
        </is>
      </c>
      <c r="B7" s="5" t="n">
        <v>155</v>
      </c>
      <c r="C7" s="5" t="n">
        <v>176</v>
      </c>
      <c r="D7" s="10" t="n">
        <v>0.01290322580645161</v>
      </c>
      <c r="E7" s="10" t="n">
        <v>0.0625</v>
      </c>
      <c r="F7" s="6">
        <f>IF(D7=0, "", (E7-D7)/D7)</f>
        <v/>
      </c>
      <c r="G7" s="13" t="n">
        <v>10.90735483870968</v>
      </c>
      <c r="H7" s="13" t="n">
        <v>34.78159090909091</v>
      </c>
      <c r="I7" s="6">
        <f>IF(G7=0, "", (H7-G7)/G7)</f>
        <v/>
      </c>
    </row>
    <row r="8" ht="20" customHeight="1">
      <c r="A8" s="7" t="inlineStr">
        <is>
          <t>Referral</t>
        </is>
      </c>
      <c r="B8" s="19" t="n">
        <v>81</v>
      </c>
      <c r="C8" s="19" t="n">
        <v>91</v>
      </c>
      <c r="D8" s="8" t="n">
        <v>0.02469135802469136</v>
      </c>
      <c r="E8" s="8" t="n">
        <v>0.1098901098901099</v>
      </c>
      <c r="F8" s="9">
        <f>IF(D8=0, "", (E8-D8)/D8)</f>
        <v/>
      </c>
      <c r="G8" s="11" t="n">
        <v>33.31098765432099</v>
      </c>
      <c r="H8" s="11" t="n">
        <v>103.0041758241758</v>
      </c>
      <c r="I8" s="9">
        <f>IF(G8=0, "", (H8-G8)/G8)</f>
        <v/>
      </c>
    </row>
    <row r="9" ht="20" customHeight="1">
      <c r="A9" s="4" t="inlineStr">
        <is>
          <t>Social</t>
        </is>
      </c>
      <c r="B9" s="5" t="n">
        <v>129</v>
      </c>
      <c r="C9" s="5" t="n">
        <v>132</v>
      </c>
      <c r="D9" s="10" t="n">
        <v>0.07751937984496124</v>
      </c>
      <c r="E9" s="10" t="n">
        <v>0.06060606060606061</v>
      </c>
      <c r="F9" s="6">
        <f>IF(D9=0, "", (E9-D9)/D9)</f>
        <v/>
      </c>
      <c r="G9" s="13" t="n">
        <v>137.1420930232558</v>
      </c>
      <c r="H9" s="13" t="n">
        <v>51.94265151515152</v>
      </c>
      <c r="I9" s="6">
        <f>IF(G9=0, "", (H9-G9)/G9)</f>
        <v/>
      </c>
    </row>
    <row r="10" ht="20" customHeight="1">
      <c r="A10" s="7" t="inlineStr">
        <is>
          <t>Unknown</t>
        </is>
      </c>
      <c r="B10" s="19" t="n">
        <v>6</v>
      </c>
      <c r="C10" s="19" t="n">
        <v>18</v>
      </c>
      <c r="D10" s="8" t="n">
        <v>0.1666666666666667</v>
      </c>
      <c r="E10" s="8" t="n">
        <v>0.1111111111111111</v>
      </c>
      <c r="F10" s="9">
        <f>IF(D10=0, "", (E10-D10)/D10)</f>
        <v/>
      </c>
      <c r="G10" s="11" t="n">
        <v>199.7816666666667</v>
      </c>
      <c r="H10" s="11" t="n">
        <v>79.4538888888889</v>
      </c>
      <c r="I10" s="9">
        <f>IF(G10=0, "", (H10-G10)/G10)</f>
        <v/>
      </c>
    </row>
    <row r="11" ht="22" customHeight="1">
      <c r="A11" s="20" t="inlineStr">
        <is>
          <t>Grand Total</t>
        </is>
      </c>
      <c r="B11" s="21">
        <f>SUM(B5:B10)</f>
        <v/>
      </c>
      <c r="C11" s="21">
        <f>SUM(C5:C10)</f>
        <v/>
      </c>
      <c r="D11" s="22">
        <f>SUMPRODUCT(B5:B10, D5:D10)/B11</f>
        <v/>
      </c>
      <c r="E11" s="22">
        <f>SUMPRODUCT(C5:C10, E5:E10)/C11</f>
        <v/>
      </c>
      <c r="F11" s="23">
        <f>(E11-D11)/D11</f>
        <v/>
      </c>
      <c r="G11" s="24">
        <f>SUMPRODUCT(B5:B10, G5:G10)/B11</f>
        <v/>
      </c>
      <c r="H11" s="24">
        <f>SUMPRODUCT(C5:C10, H5:H10)/C11</f>
        <v/>
      </c>
      <c r="I11" s="23">
        <f>(H11-G11)/G11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32" customWidth="1" min="4" max="4"/>
    <col width="32" customWidth="1" min="5" max="5"/>
    <col width="29" customWidth="1" min="6" max="6"/>
    <col width="31" customWidth="1" min="7" max="7"/>
    <col width="31" customWidth="1" min="8" max="8"/>
    <col width="29" customWidth="1" min="9" max="9"/>
  </cols>
  <sheetData>
    <row r="1" ht="25" customHeight="1">
      <c r="A1" s="1" t="inlineStr">
        <is>
          <t>EXPERIMENT SEGMENT ANALYSIS: PLAN TYPE</t>
        </is>
      </c>
    </row>
    <row r="2" ht="18" customHeight="1">
      <c r="A2" s="2" t="inlineStr">
        <is>
          <t>Experiment Segment Breakdown - Shreyas Bagul (2511033)</t>
        </is>
      </c>
    </row>
    <row r="3"/>
    <row r="4" ht="22" customHeight="1">
      <c r="A4" s="3" t="inlineStr">
        <is>
          <t>Plan Type</t>
        </is>
      </c>
      <c r="B4" s="3" t="inlineStr">
        <is>
          <t>Control N</t>
        </is>
      </c>
      <c r="C4" s="3" t="inlineStr">
        <is>
          <t>Treatment N</t>
        </is>
      </c>
      <c r="D4" s="3" t="inlineStr">
        <is>
          <t>Control CR</t>
        </is>
      </c>
      <c r="E4" s="3" t="inlineStr">
        <is>
          <t>Treatment CR</t>
        </is>
      </c>
      <c r="F4" s="3" t="inlineStr">
        <is>
          <t>CR Lift</t>
        </is>
      </c>
      <c r="G4" s="3" t="inlineStr">
        <is>
          <t>Control ARPU</t>
        </is>
      </c>
      <c r="H4" s="3" t="inlineStr">
        <is>
          <t>Treatment ARPU</t>
        </is>
      </c>
      <c r="I4" s="3" t="inlineStr">
        <is>
          <t>ARPU Lift</t>
        </is>
      </c>
    </row>
    <row r="5" ht="20" customHeight="1">
      <c r="A5" s="4" t="inlineStr">
        <is>
          <t>Basic</t>
        </is>
      </c>
      <c r="B5" s="5" t="n">
        <v>221</v>
      </c>
      <c r="C5" s="5" t="n">
        <v>232</v>
      </c>
      <c r="D5" s="10" t="n">
        <v>0.03619909502262444</v>
      </c>
      <c r="E5" s="10" t="n">
        <v>0.03879310344827586</v>
      </c>
      <c r="F5" s="6">
        <f>IF(D5=0, "", (E5-D5)/D5)</f>
        <v/>
      </c>
      <c r="G5" s="13" t="n">
        <v>98.68538461538461</v>
      </c>
      <c r="H5" s="13" t="n">
        <v>36.7578448275862</v>
      </c>
      <c r="I5" s="6">
        <f>IF(G5=0, "", (H5-G5)/G5)</f>
        <v/>
      </c>
    </row>
    <row r="6" ht="20" customHeight="1">
      <c r="A6" s="7" t="inlineStr">
        <is>
          <t>Free</t>
        </is>
      </c>
      <c r="B6" s="19" t="n">
        <v>360</v>
      </c>
      <c r="C6" s="19" t="n">
        <v>366</v>
      </c>
      <c r="D6" s="8" t="n">
        <v>0.03055555555555555</v>
      </c>
      <c r="E6" s="8" t="n">
        <v>0.09289617486338798</v>
      </c>
      <c r="F6" s="9">
        <f>IF(D6=0, "", (E6-D6)/D6)</f>
        <v/>
      </c>
      <c r="G6" s="11" t="n">
        <v>22.72855555555556</v>
      </c>
      <c r="H6" s="11" t="n">
        <v>51.17543715846994</v>
      </c>
      <c r="I6" s="9">
        <f>IF(G6=0, "", (H6-G6)/G6)</f>
        <v/>
      </c>
    </row>
    <row r="7" ht="20" customHeight="1">
      <c r="A7" s="4" t="inlineStr">
        <is>
          <t>Premium</t>
        </is>
      </c>
      <c r="B7" s="5" t="n">
        <v>109</v>
      </c>
      <c r="C7" s="5" t="n">
        <v>112</v>
      </c>
      <c r="D7" s="10" t="n">
        <v>0.02752293577981652</v>
      </c>
      <c r="E7" s="10" t="n">
        <v>0.0625</v>
      </c>
      <c r="F7" s="6">
        <f>IF(D7=0, "", (E7-D7)/D7)</f>
        <v/>
      </c>
      <c r="G7" s="13" t="n">
        <v>53.85807339449542</v>
      </c>
      <c r="H7" s="13" t="n">
        <v>100.5596428571429</v>
      </c>
      <c r="I7" s="6">
        <f>IF(G7=0, "", (H7-G7)/G7)</f>
        <v/>
      </c>
    </row>
    <row r="8" ht="22" customHeight="1">
      <c r="A8" s="20" t="inlineStr">
        <is>
          <t>Grand Total</t>
        </is>
      </c>
      <c r="B8" s="21">
        <f>SUM(B5:B7)</f>
        <v/>
      </c>
      <c r="C8" s="21">
        <f>SUM(C5:C7)</f>
        <v/>
      </c>
      <c r="D8" s="22">
        <f>SUMPRODUCT(B5:B7, D5:D7)/B8</f>
        <v/>
      </c>
      <c r="E8" s="22">
        <f>SUMPRODUCT(C5:C7, E5:E7)/C8</f>
        <v/>
      </c>
      <c r="F8" s="23">
        <f>(E8-D8)/D8</f>
        <v/>
      </c>
      <c r="G8" s="24">
        <f>SUMPRODUCT(B5:B7, G5:G7)/B8</f>
        <v/>
      </c>
      <c r="H8" s="24">
        <f>SUMPRODUCT(C5:C7, H5:H7)/C8</f>
        <v/>
      </c>
      <c r="I8" s="23">
        <f>(H8-G8)/G8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2026-06-23T05:27:59Z</dcterms:created>
  <dcterms:modified xsi:type="dcterms:W3CDTF">2026-06-23T05:27:59Z</dcterms:modified>
</cp:coreProperties>
</file>